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Tracker" sheetId="1" state="visible" r:id="rId3"/>
    <sheet name="Instructions" sheetId="2" state="visible" r:id="rId4"/>
    <sheet name="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<sst xmlns="http://schemas.openxmlformats.org/spreadsheetml/2006/main" count="69" uniqueCount="66">
  <si>
    <t xml:space="preserve">Company</t>
  </si>
  <si>
    <t xml:space="preserve">Position</t>
  </si>
  <si>
    <t xml:space="preserve">Date Applied</t>
  </si>
  <si>
    <t xml:space="preserve">Status</t>
  </si>
  <si>
    <t xml:space="preserve">Link</t>
  </si>
  <si>
    <t xml:space="preserve">Contact</t>
  </si>
  <si>
    <t xml:space="preserve">Salary Range</t>
  </si>
  <si>
    <t xml:space="preserve">Next Action</t>
  </si>
  <si>
    <t xml:space="preserve">Notes</t>
  </si>
  <si>
    <t xml:space="preserve">Google</t>
  </si>
  <si>
    <t xml:space="preserve">Senior Software Engineer</t>
  </si>
  <si>
    <t xml:space="preserve">2026-02-01</t>
  </si>
  <si>
    <t xml:space="preserve">Applied</t>
  </si>
  <si>
    <t xml:space="preserve">https://careers.google.com/jobs/...</t>
  </si>
  <si>
    <t xml:space="preserve">jane.recruiter@google.com</t>
  </si>
  <si>
    <t xml:space="preserve">$150k-200k</t>
  </si>
  <si>
    <t xml:space="preserve">Follow up by 2/10</t>
  </si>
  <si>
    <t xml:space="preserve">Referral from John</t>
  </si>
  <si>
    <t xml:space="preserve">Meta</t>
  </si>
  <si>
    <t xml:space="preserve">Product Manager</t>
  </si>
  <si>
    <t xml:space="preserve">2026-02-03</t>
  </si>
  <si>
    <t xml:space="preserve">Phone Screen</t>
  </si>
  <si>
    <t xml:space="preserve">https://www.metacareers.com/jobs/...</t>
  </si>
  <si>
    <t xml:space="preserve">recruiting@meta.com</t>
  </si>
  <si>
    <t xml:space="preserve">$140k-180k</t>
  </si>
  <si>
    <t xml:space="preserve">Interview scheduled 2/15</t>
  </si>
  <si>
    <t xml:space="preserve">Strong culture fit</t>
  </si>
  <si>
    <t xml:space="preserve">Stripe</t>
  </si>
  <si>
    <t xml:space="preserve">Tech Lead</t>
  </si>
  <si>
    <t xml:space="preserve">2026-01-28</t>
  </si>
  <si>
    <t xml:space="preserve">Interview</t>
  </si>
  <si>
    <t xml:space="preserve">https://stripe.com/jobs/...</t>
  </si>
  <si>
    <t xml:space="preserve">sarah@stripe.com</t>
  </si>
  <si>
    <t xml:space="preserve">$180k-220k</t>
  </si>
  <si>
    <t xml:space="preserve">Final round 2/12</t>
  </si>
  <si>
    <t xml:space="preserve">Exciting payments platform</t>
  </si>
  <si>
    <t xml:space="preserve">Job Search Tracker - Instructions</t>
  </si>
  <si>
    <t xml:space="preserve">How to use this tracker:</t>
  </si>
  <si>
    <t xml:space="preserve">1. Add a new row for each job you apply to</t>
  </si>
  <si>
    <t xml:space="preserve">2. Update the Status column as you progress through the interview process</t>
  </si>
  <si>
    <t xml:space="preserve">3. Set Next Action dates to remind yourself when to follow up</t>
  </si>
  <si>
    <t xml:space="preserve">4. Keep notes on each application for reference</t>
  </si>
  <si>
    <t xml:space="preserve">Status Options:</t>
  </si>
  <si>
    <t xml:space="preserve">• Applied - Initial application submitted</t>
  </si>
  <si>
    <t xml:space="preserve">• Phone Screen - First recruiter call scheduled/completed</t>
  </si>
  <si>
    <t xml:space="preserve">• Interview - Technical or in-person interview stage</t>
  </si>
  <si>
    <t xml:space="preserve">• Offer - Received job offer</t>
  </si>
  <si>
    <t xml:space="preserve">• Rejected - Not moving forward</t>
  </si>
  <si>
    <t xml:space="preserve">Tips:</t>
  </si>
  <si>
    <t xml:space="preserve">• Follow up 5-7 days after applying if no response</t>
  </si>
  <si>
    <t xml:space="preserve">• Send thank you emails within 24 hours of interviews</t>
  </si>
  <si>
    <t xml:space="preserve">• Keep the Link column updated so you can reference job descriptions</t>
  </si>
  <si>
    <t xml:space="preserve">• Track all contact info in case you need to follow up</t>
  </si>
  <si>
    <t xml:space="preserve">Color Coding:</t>
  </si>
  <si>
    <t xml:space="preserve">• Blue = Applied</t>
  </si>
  <si>
    <t xml:space="preserve">• Yellow = Phone Screen</t>
  </si>
  <si>
    <t xml:space="preserve">• Orange = Interview</t>
  </si>
  <si>
    <t xml:space="preserve">• Green = Offer</t>
  </si>
  <si>
    <t xml:space="preserve">• Gray = Rejected</t>
  </si>
  <si>
    <t xml:space="preserve">Application Statistics</t>
  </si>
  <si>
    <t xml:space="preserve">Total Applications:</t>
  </si>
  <si>
    <t xml:space="preserve">Applications This Week:</t>
  </si>
  <si>
    <t xml:space="preserve">By Status:</t>
  </si>
  <si>
    <t xml:space="preserve">Offer</t>
  </si>
  <si>
    <t xml:space="preserve">Rejected</t>
  </si>
  <si>
    <t xml:space="preserve">Response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</si>
</sst>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B8D4E8"/>
        <bgColor rgb="FF99CCFF"/>
      </patternFill>
    </fill>
    <fill>
      <patternFill patternType="solid">
        <fgColor rgb="FFFFF4B3"/>
        <bgColor rgb="FFFFFF99"/>
      </patternFill>
    </fill>
    <fill>
      <patternFill patternType="solid">
        <fgColor rgb="FFFFD9B3"/>
        <bgColor rgb="FFFFF4B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B3"/>
      <rgbColor rgb="FFCCFFFF"/>
      <rgbColor rgb="FF660066"/>
      <rgbColor rgb="FFFF8080"/>
      <rgbColor rgb="FF0066CC"/>
      <rgbColor rgb="FFB8D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4" min="3" style="0" width="15"/>
    <col collapsed="false" customWidth="true" hidden="false" outlineLevel="0" max="5" min="5" style="0" width="40"/>
    <col collapsed="false" customWidth="true" hidden="false" outlineLevel="0" max="6" min="6" style="0" width="25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2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20</v>
      </c>
      <c r="D3" s="3" t="s">
        <v>21</v>
      </c>
      <c r="E3" s="0" t="s">
        <v>22</v>
      </c>
      <c r="F3" s="0" t="s">
        <v>23</v>
      </c>
      <c r="G3" s="0" t="s">
        <v>24</v>
      </c>
      <c r="H3" s="0" t="s">
        <v>25</v>
      </c>
      <c r="I3" s="0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4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5" t="s">
        <v>36</v>
      </c>
    </row>
    <row r="3" customFormat="false" ht="15" hidden="false" customHeight="false" outlineLevel="0" collapsed="false">
      <c r="A3" s="0" t="s">
        <v>37</v>
      </c>
    </row>
    <row r="5" customFormat="false" ht="15" hidden="false" customHeight="false" outlineLevel="0" collapsed="false">
      <c r="A5" s="0" t="s">
        <v>38</v>
      </c>
    </row>
    <row r="6" customFormat="false" ht="15" hidden="false" customHeight="false" outlineLevel="0" collapsed="false">
      <c r="A6" s="0" t="s">
        <v>39</v>
      </c>
    </row>
    <row r="7" customFormat="false" ht="15" hidden="false" customHeight="false" outlineLevel="0" collapsed="false">
      <c r="A7" s="0" t="s">
        <v>40</v>
      </c>
    </row>
    <row r="8" customFormat="false" ht="15" hidden="false" customHeight="false" outlineLevel="0" collapsed="false">
      <c r="A8" s="0" t="s">
        <v>41</v>
      </c>
    </row>
    <row r="10" customFormat="false" ht="15" hidden="false" customHeight="false" outlineLevel="0" collapsed="false">
      <c r="A10" s="0" t="s">
        <v>42</v>
      </c>
    </row>
    <row r="11" customFormat="false" ht="15" hidden="false" customHeight="false" outlineLevel="0" collapsed="false">
      <c r="A11" s="6" t="s">
        <v>43</v>
      </c>
    </row>
    <row r="12" customFormat="false" ht="15" hidden="false" customHeight="false" outlineLevel="0" collapsed="false">
      <c r="A12" s="6" t="s">
        <v>44</v>
      </c>
    </row>
    <row r="13" customFormat="false" ht="15" hidden="false" customHeight="false" outlineLevel="0" collapsed="false">
      <c r="A13" s="6" t="s">
        <v>45</v>
      </c>
    </row>
    <row r="14" customFormat="false" ht="15" hidden="false" customHeight="false" outlineLevel="0" collapsed="false">
      <c r="A14" s="6" t="s">
        <v>46</v>
      </c>
    </row>
    <row r="15" customFormat="false" ht="15" hidden="false" customHeight="false" outlineLevel="0" collapsed="false">
      <c r="A15" s="6" t="s">
        <v>47</v>
      </c>
    </row>
    <row r="17" customFormat="false" ht="15" hidden="false" customHeight="false" outlineLevel="0" collapsed="false">
      <c r="A17" s="0" t="s">
        <v>48</v>
      </c>
    </row>
    <row r="18" customFormat="false" ht="15" hidden="false" customHeight="false" outlineLevel="0" collapsed="false">
      <c r="A18" s="6" t="s">
        <v>49</v>
      </c>
    </row>
    <row r="19" customFormat="false" ht="15" hidden="false" customHeight="false" outlineLevel="0" collapsed="false">
      <c r="A19" s="6" t="s">
        <v>50</v>
      </c>
    </row>
    <row r="20" customFormat="false" ht="15" hidden="false" customHeight="false" outlineLevel="0" collapsed="false">
      <c r="A20" s="6" t="s">
        <v>51</v>
      </c>
    </row>
    <row r="21" customFormat="false" ht="15" hidden="false" customHeight="false" outlineLevel="0" collapsed="false">
      <c r="A21" s="6" t="s">
        <v>52</v>
      </c>
    </row>
    <row r="23" customFormat="false" ht="15" hidden="false" customHeight="false" outlineLevel="0" collapsed="false">
      <c r="A23" s="0" t="s">
        <v>53</v>
      </c>
    </row>
    <row r="24" customFormat="false" ht="15" hidden="false" customHeight="false" outlineLevel="0" collapsed="false">
      <c r="A24" s="6" t="s">
        <v>54</v>
      </c>
    </row>
    <row r="25" customFormat="false" ht="15" hidden="false" customHeight="false" outlineLevel="0" collapsed="false">
      <c r="A25" s="6" t="s">
        <v>55</v>
      </c>
    </row>
    <row r="26" customFormat="false" ht="15" hidden="false" customHeight="false" outlineLevel="0" collapsed="false">
      <c r="A26" s="6" t="s">
        <v>56</v>
      </c>
    </row>
    <row r="27" customFormat="false" ht="15" hidden="false" customHeight="false" outlineLevel="0" collapsed="false">
      <c r="A27" s="6" t="s">
        <v>57</v>
      </c>
    </row>
    <row r="28" customFormat="false" ht="15" hidden="false" customHeight="false" outlineLevel="0" collapsed="false">
      <c r="A28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5" t="s">
        <v>59</v>
      </c>
    </row>
    <row r="3" customFormat="false" ht="15" hidden="false" customHeight="false" outlineLevel="0" collapsed="false">
      <c r="A3" s="0" t="s">
        <v>60</v>
      </c>
      <c r="B3" s="0" t="n">
        <f aca="false">COUNTA('Job Tracker'!A2:A1000)-COUNTBLANK('Job Tracker'!A2:A1000)</f>
        <v>-993</v>
      </c>
    </row>
    <row r="4" customFormat="false" ht="15" hidden="false" customHeight="false" outlineLevel="0" collapsed="false">
      <c r="A4" s="0" t="s">
        <v>61</v>
      </c>
      <c r="B4" s="0" t="n">
        <f aca="true">COUNTIFS('Job Tracker'!C:C,"&gt;="&amp;TODAY()-7)</f>
        <v>0</v>
      </c>
    </row>
    <row r="6" customFormat="false" ht="15" hidden="false" customHeight="false" outlineLevel="0" collapsed="false">
      <c r="A6" s="0" t="s">
        <v>62</v>
      </c>
    </row>
    <row r="7" customFormat="false" ht="15" hidden="false" customHeight="false" outlineLevel="0" collapsed="false">
      <c r="A7" s="0" t="s">
        <v>12</v>
      </c>
      <c r="B7" s="0" t="n">
        <f aca="false">COUNTIF('Job Tracker'!D:D,"Applied")</f>
        <v>1</v>
      </c>
    </row>
    <row r="8" customFormat="false" ht="15" hidden="false" customHeight="false" outlineLevel="0" collapsed="false">
      <c r="A8" s="0" t="s">
        <v>21</v>
      </c>
      <c r="B8" s="0" t="n">
        <f aca="false">COUNTIF('Job Tracker'!D:D,"Phone Screen")</f>
        <v>1</v>
      </c>
    </row>
    <row r="9" customFormat="false" ht="15" hidden="false" customHeight="false" outlineLevel="0" collapsed="false">
      <c r="A9" s="0" t="s">
        <v>30</v>
      </c>
      <c r="B9" s="0" t="n">
        <f aca="false">COUNTIF('Job Tracker'!D:D,"Interview")</f>
        <v>1</v>
      </c>
    </row>
    <row r="10" customFormat="false" ht="15" hidden="false" customHeight="false" outlineLevel="0" collapsed="false">
      <c r="A10" s="0" t="s">
        <v>63</v>
      </c>
      <c r="B10" s="0" t="n">
        <f aca="false">COUNTIF('Job Tracker'!D:D,"Offer")</f>
        <v>0</v>
      </c>
    </row>
    <row r="11" customFormat="false" ht="15" hidden="false" customHeight="false" outlineLevel="0" collapsed="false">
      <c r="A11" s="0" t="s">
        <v>64</v>
      </c>
      <c r="B11" s="0" t="n">
        <f aca="false">COUNTIF('Job Tracker'!D:D,"Rejected")</f>
        <v>0</v>
      </c>
    </row>
    <row r="13" customFormat="false" ht="15" hidden="false" customHeight="false" outlineLevel="0" collapsed="false">
      <c r="A13" s="0" t="s">
        <v>65</v>
      </c>
      <c r="B13" s="7" t="n">
        <f aca="false">IF(B7&gt;0,(B8+B9+B10)/B7,0)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2026-02-10T16:22:15Z</dcterms:created>
  <dc:creator>openpyxl</dc:creator>
  <dc:description/>
  <dc:language>en-US</dc:language>
  <cp:lastModifiedBy/>
  <dcterms:modified xsi:type="dcterms:W3CDTF">2026-02-10T16:22:15Z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